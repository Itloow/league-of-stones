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\prog_web\doc\"/>
    </mc:Choice>
  </mc:AlternateContent>
  <xr:revisionPtr revIDLastSave="0" documentId="13_ncr:1_{4E7ECDF4-2D9E-4D8B-A3D1-62AE7595326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shboard" sheetId="1" r:id="rId1"/>
    <sheet name="Tâches" sheetId="2" r:id="rId2"/>
    <sheet name="Rôles" sheetId="3" r:id="rId3"/>
    <sheet name="Légend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HdaPqqr6F8ir0GxGUX1IMXWd1OG34/lGLzH5v2o60NQ="/>
    </ext>
  </extLst>
</workbook>
</file>

<file path=xl/calcChain.xml><?xml version="1.0" encoding="utf-8"?>
<calcChain xmlns="http://schemas.openxmlformats.org/spreadsheetml/2006/main">
  <c r="J16" i="2" l="1"/>
  <c r="J15" i="2"/>
  <c r="J14" i="2"/>
  <c r="J13" i="2"/>
  <c r="J12" i="2"/>
  <c r="J11" i="2"/>
  <c r="J10" i="2"/>
  <c r="J8" i="2"/>
  <c r="D18" i="1" s="1"/>
  <c r="J7" i="2"/>
  <c r="J6" i="2"/>
  <c r="J5" i="2"/>
  <c r="J4" i="2"/>
  <c r="K2" i="2"/>
  <c r="J2" i="2"/>
  <c r="L2" i="2" s="1"/>
  <c r="C18" i="1"/>
  <c r="C6" i="1"/>
</calcChain>
</file>

<file path=xl/sharedStrings.xml><?xml version="1.0" encoding="utf-8"?>
<sst xmlns="http://schemas.openxmlformats.org/spreadsheetml/2006/main" count="376" uniqueCount="181">
  <si>
    <t>🎮  LEAGUE OF STONES — TABLEAU DE BORD - Groupe 6</t>
  </si>
  <si>
    <t>Deadline : 02 avril 2026 à 23h00  |  Mettre à jour les statuts dans l'onglet "Tâches" → tout se calcule automatiquement ici</t>
  </si>
  <si>
    <t>PROGRESSION GLOBALE</t>
  </si>
  <si>
    <t>Total tâches :</t>
  </si>
  <si>
    <t>Terminées :</t>
  </si>
  <si>
    <t>En cours :</t>
  </si>
  <si>
    <t>% Global :</t>
  </si>
  <si>
    <t>PROGRESSION PAR MEMBRE</t>
  </si>
  <si>
    <t>Membre</t>
  </si>
  <si>
    <t>Rôle</t>
  </si>
  <si>
    <t>Tâches</t>
  </si>
  <si>
    <t>Faites</t>
  </si>
  <si>
    <t>%</t>
  </si>
  <si>
    <t>Progression visuelle</t>
  </si>
  <si>
    <t>Olti</t>
  </si>
  <si>
    <t>Gestion de projet</t>
  </si>
  <si>
    <t>Asmae</t>
  </si>
  <si>
    <t>Resp. qualité</t>
  </si>
  <si>
    <t>Mohammed Ali</t>
  </si>
  <si>
    <t>Architecte</t>
  </si>
  <si>
    <t>Karim</t>
  </si>
  <si>
    <t>Designer</t>
  </si>
  <si>
    <t>Hyacinthe</t>
  </si>
  <si>
    <t>Resp. mobile</t>
  </si>
  <si>
    <t>LISTE DES TÂCHES — Changer le statut via le menu déroulant (colonne G)</t>
  </si>
  <si>
    <t>Total</t>
  </si>
  <si>
    <t>Terminé</t>
  </si>
  <si>
    <t>EnCours</t>
  </si>
  <si>
    <t>#</t>
  </si>
  <si>
    <t>Tâche</t>
  </si>
  <si>
    <t>Responsable</t>
  </si>
  <si>
    <t>Support</t>
  </si>
  <si>
    <t>Priorité</t>
  </si>
  <si>
    <t>Deadline</t>
  </si>
  <si>
    <t>Statut</t>
  </si>
  <si>
    <t>Notes</t>
  </si>
  <si>
    <t>PHASE 1 — DESIGN &amp; MAQUETTES (Karim commence, les autres suivent)</t>
  </si>
  <si>
    <t>Maquettes page Login / Register</t>
  </si>
  <si>
    <t>Critique</t>
  </si>
  <si>
    <t>20/03</t>
  </si>
  <si>
    <t>✅ Terminé</t>
  </si>
  <si>
    <t>Figma ou papier, valider avec équipe</t>
  </si>
  <si>
    <t>Maquettes page Lobby (matchmaking)</t>
  </si>
  <si>
    <t>Liste joueurs, boutons, demandes reçues</t>
  </si>
  <si>
    <t>Maquettes page Sélection de deck</t>
  </si>
  <si>
    <t>21/03</t>
  </si>
  <si>
    <t>Grille cartes, sélection, compteur 20</t>
  </si>
  <si>
    <t>Maquettes page Plateau de jeu</t>
  </si>
  <si>
    <t>Board, main, HP, actions, indicateur tour</t>
  </si>
  <si>
    <t>Maquettes écran victoire/défaite</t>
  </si>
  <si>
    <t>Haute</t>
  </si>
  <si>
    <t>Message résultat, bouton rejouer</t>
  </si>
  <si>
    <t>Design composant carte champion</t>
  </si>
  <si>
    <t>22/03</t>
  </si>
  <si>
    <t>Image, nom, attaque, défense</t>
  </si>
  <si>
    <t>Palette couleurs + typographie + thème CSS</t>
  </si>
  <si>
    <t>Variables CSS, cohérence globale</t>
  </si>
  <si>
    <t>PHASE 2 — SETUP &amp; INFRASTRUCTURE</t>
  </si>
  <si>
    <t>Initialiser le projet Next.js (basé sur le TP3)</t>
  </si>
  <si>
    <t>Structure dossiers, dépendances</t>
  </si>
  <si>
    <t>Créer la structure des pages</t>
  </si>
  <si>
    <t>Chaque page = un dossier dans app/ avec page.jsx. Navigation avec Link et useRouter.</t>
  </si>
  <si>
    <t>Créer le service API centralisé (fetch)</t>
  </si>
  <si>
    <t>Header WWW-Authenticate, gestion erreurs</t>
  </si>
  <si>
    <t>Intégrer le thème CSS de Karim</t>
  </si>
  <si>
    <t>23/03</t>
  </si>
  <si>
    <t>Import variables, styles globaux</t>
  </si>
  <si>
    <t>PHASE 3 — AUTHENTIFICATION</t>
  </si>
  <si>
    <t>Page Inscription (PUT /user)</t>
  </si>
  <si>
    <t>Validation @univ-tlse2.fr, nom 3-28 car.</t>
  </si>
  <si>
    <t>Page Connexion (POST /login)</t>
  </si>
  <si>
    <t>Stocker token, redirection lobby</t>
  </si>
  <si>
    <t>Gestion état connecté (Context/Store)</t>
  </si>
  <si>
    <t>Token, user info, overlay vert</t>
  </si>
  <si>
    <t>Déconnexion (POST /logout)</t>
  </si>
  <si>
    <t>24/03</t>
  </si>
  <si>
    <t>Bouton navbar, nettoyage état</t>
  </si>
  <si>
    <t>Suppression de compte</t>
  </si>
  <si>
    <t>Basse</t>
  </si>
  <si>
    <t>29/03</t>
  </si>
  <si>
    <t>GET /users/unsubscribe</t>
  </si>
  <si>
    <t>PHASE 4 — MATCHMAKING (Lobby)</t>
  </si>
  <si>
    <t>Participer au matchmaking</t>
  </si>
  <si>
    <t>25/03</t>
  </si>
  <si>
    <t>GET /matchmaking/participate</t>
  </si>
  <si>
    <t>Afficher liste joueurs en attente</t>
  </si>
  <si>
    <t>GET /matchmaking/getAll + polling</t>
  </si>
  <si>
    <t>Envoyer une demande de match</t>
  </si>
  <si>
    <t>26/03</t>
  </si>
  <si>
    <t>GET /matchmaking/request</t>
  </si>
  <si>
    <t>Afficher et accepter demandes reçues</t>
  </si>
  <si>
    <t>Polling participate, acceptRequest</t>
  </si>
  <si>
    <t>Redirection auto vers le match</t>
  </si>
  <si>
    <t>Détecter match dans réponse</t>
  </si>
  <si>
    <t>PHASE 5 — JEU (Match)</t>
  </si>
  <si>
    <t>Page sélection du deck (GET /cards)</t>
  </si>
  <si>
    <t>Afficher cartes, sélection 20 max, Réutiliser le code du TP3 (affichage cartes + ajout au deck + validation 20 cartes)</t>
  </si>
  <si>
    <t>Envoi du deck (GET /match/initDeck)</t>
  </si>
  <si>
    <t>27/03</t>
  </si>
  <si>
    <t>encodeURIComponent, attendre adversaire</t>
  </si>
  <si>
    <t>Page plateau — layout boards/mains/HP</t>
  </si>
  <si>
    <t>Intégrer maquette de Karim, réutiliser le CSS/Bootstrap du TP2 (plateau, cartes, portraits, effets hover, animations)</t>
  </si>
  <si>
    <t>Polling getMatch + màj état du jeu</t>
  </si>
  <si>
    <t>Intervalle 3-5s, gestion tours</t>
  </si>
  <si>
    <t>Action : Piocher (pickCard)</t>
  </si>
  <si>
    <t>28/03</t>
  </si>
  <si>
    <t>Bouton conditionnel 1x/tour</t>
  </si>
  <si>
    <t>Action : Poser carte (playCard)</t>
  </si>
  <si>
    <t>Clic main → board (max 5)</t>
  </si>
  <si>
    <t>Action : Attaquer champion (attack)</t>
  </si>
  <si>
    <t>Sélection attaquant → cible</t>
  </si>
  <si>
    <t>Action : Attaquer joueur (attackPlayer)</t>
  </si>
  <si>
    <t>Si board adverse vide</t>
  </si>
  <si>
    <t>Action : Fin de tour (endTurn)</t>
  </si>
  <si>
    <t>Bouton fin de tour</t>
  </si>
  <si>
    <t>Écran victoire/défaite + finishMatch</t>
  </si>
  <si>
    <t>HP ≤ 0, afficher résultat</t>
  </si>
  <si>
    <t>PHASE 6 — RESPONSIVE / MOBILE</t>
  </si>
  <si>
    <t>Responsive : pages Auth</t>
  </si>
  <si>
    <t>Media queries, test mobile</t>
  </si>
  <si>
    <t>Responsive : page Lobby</t>
  </si>
  <si>
    <t>30/03</t>
  </si>
  <si>
    <t>Adaptation liste joueurs</t>
  </si>
  <si>
    <t>Responsive : page Plateau de jeu</t>
  </si>
  <si>
    <t>Layout adaptatif board/main</t>
  </si>
  <si>
    <t>PHASE 7 — RAPPORT &amp; LIVRAISON</t>
  </si>
  <si>
    <t>Rapport — Gestion de projet</t>
  </si>
  <si>
    <t>01/04</t>
  </si>
  <si>
    <t>Planning, répartition, suivi</t>
  </si>
  <si>
    <t>Rapport — Qualité</t>
  </si>
  <si>
    <t>Conventions, tests, propreté code</t>
  </si>
  <si>
    <t>Rapport — Design</t>
  </si>
  <si>
    <t>Maquettes, choix graphiques, UX</t>
  </si>
  <si>
    <t>Rapport — Architecture</t>
  </si>
  <si>
    <t>Analyse backend, déploiement, Git</t>
  </si>
  <si>
    <t>Rapport — Mobile/Responsive</t>
  </si>
  <si>
    <t>Tests mobile, approche responsive</t>
  </si>
  <si>
    <t>Rapport — Section IA (si utilisée)</t>
  </si>
  <si>
    <t>Tous</t>
  </si>
  <si>
    <t>Moyenne</t>
  </si>
  <si>
    <t>OBLIGATOIRE si IA utilisée</t>
  </si>
  <si>
    <t>Relecture finale + soumission</t>
  </si>
  <si>
    <t>02/04</t>
  </si>
  <si>
    <t>Code + rapport + déploiement</t>
  </si>
  <si>
    <t>RÔLES &amp; RESPONSABILITÉS</t>
  </si>
  <si>
    <t>Responsabilités</t>
  </si>
  <si>
    <t>Pages / Modules</t>
  </si>
  <si>
    <t>Coordination équipe, suivi avancement, cahier des charges, communication</t>
  </si>
  <si>
    <t>Service API, état auth, polling, redirection, victoire, rapport GP</t>
  </si>
  <si>
    <t>Responsable qualité</t>
  </si>
  <si>
    <t>Conventions code, revue de code, tests, propreté, documentation</t>
  </si>
  <si>
    <t>Auth (login/register), sélection deck, piocher/poser, rapport qualité</t>
  </si>
  <si>
    <t>Analyse backend, déploiement serveur fac, structure projet, Git</t>
  </si>
  <si>
    <t>Init React, routage, intégration CSS, plateau de jeu, rapport archi</t>
  </si>
  <si>
    <t>Maquettes toutes pages, UI/UX, palette, design cartes, thème CSS</t>
  </si>
  <si>
    <t>Toutes maquettes Figma, design cartes, thème CSS global, rapport design</t>
  </si>
  <si>
    <t>Responsable mobile</t>
  </si>
  <si>
    <t>Responsive toutes pages, tests mobile, adaptation layouts</t>
  </si>
  <si>
    <t>Lobby/matchmaking, attaques, fin tour, responsive, rapport mobile</t>
  </si>
  <si>
    <t>LÉGENDE &amp; MODE D'EMPLOI</t>
  </si>
  <si>
    <t>Statuts (menu déroulant)</t>
  </si>
  <si>
    <t>Signification</t>
  </si>
  <si>
    <t>⬜ Non commencé</t>
  </si>
  <si>
    <t>Rouge — Tâche pas encore démarrée</t>
  </si>
  <si>
    <t>🔧 En cours</t>
  </si>
  <si>
    <t>Jaune — Travail en cours</t>
  </si>
  <si>
    <t>🔍 En review</t>
  </si>
  <si>
    <t>Bleu — Terminé, en attente de vérification par Asmae (qualité)</t>
  </si>
  <si>
    <t>Vert — Validé et fini</t>
  </si>
  <si>
    <t>Comment utiliser</t>
  </si>
  <si>
    <t>1. Allez dans l'onglet "Tâches"</t>
  </si>
  <si>
    <t>2. Cliquez sur la colonne "Statut" d'une tâche</t>
  </si>
  <si>
    <t>3. Un menu déroulant apparaît → choisissez le bon statut</t>
  </si>
  <si>
    <t>4. Le Dashboard se met à jour automatiquement (%, barres)</t>
  </si>
  <si>
    <t>5. Les couleurs changent automatiquement selon le statut</t>
  </si>
  <si>
    <t>6. Consultez le Dashboard pour voir la progression globale</t>
  </si>
  <si>
    <t>Priorités</t>
  </si>
  <si>
    <t>Bloquant — à faire immédiatement</t>
  </si>
  <si>
    <t>Important — dans les jours suivants</t>
  </si>
  <si>
    <t>Souhaitable — si possible</t>
  </si>
  <si>
    <t>Bonus — optionnel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</si>
</sst>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8"/>
      <color rgb="FF1F4E79"/>
      <name val="Arial"/>
    </font>
    <font>
      <i/>
      <sz val="10"/>
      <color rgb="FFC0392B"/>
      <name val="Arial"/>
    </font>
    <font>
      <b/>
      <sz val="13"/>
      <color rgb="FF1F4E79"/>
      <name val="Arial"/>
    </font>
    <font>
      <sz val="11"/>
      <name val="Calibri"/>
    </font>
    <font>
      <b/>
      <sz val="10"/>
      <color theme="1"/>
      <name val="Arial"/>
    </font>
    <font>
      <b/>
      <sz val="14"/>
      <color theme="1"/>
      <name val="Arial"/>
    </font>
    <font>
      <b/>
      <sz val="14"/>
      <color rgb="FFFF9800"/>
      <name val="Arial"/>
    </font>
    <font>
      <b/>
      <sz val="16"/>
      <color rgb="FF1F4E79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4"/>
      <color rgb="FF1F4E79"/>
      <name val="Arial"/>
    </font>
    <font>
      <sz val="8"/>
      <color rgb="FF999999"/>
      <name val="Arial"/>
    </font>
    <font>
      <sz val="11"/>
      <color theme="1"/>
      <name val="Calibri"/>
      <scheme val="minor"/>
    </font>
    <font>
      <b/>
      <sz val="10"/>
      <color rgb="FFC0392B"/>
      <name val="Arial"/>
    </font>
    <font>
      <b/>
      <sz val="10"/>
      <color rgb="FFE67E22"/>
      <name val="Arial"/>
    </font>
  </fonts>
  <fills count="12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8E1"/>
        <bgColor rgb="FFFFF8E1"/>
      </patternFill>
    </fill>
    <fill>
      <patternFill patternType="solid">
        <fgColor rgb="FFE0E0E0"/>
        <bgColor rgb="FFE0E0E0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2E7D32"/>
        <bgColor rgb="FF2E7D32"/>
      </patternFill>
    </fill>
    <fill>
      <patternFill patternType="solid">
        <fgColor rgb="FFF5F5F5"/>
        <bgColor rgb="FFF5F5F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5" fillId="4" borderId="4" xfId="0" applyFont="1" applyFill="1" applyBorder="1"/>
    <xf numFmtId="0" fontId="10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2" fillId="5" borderId="4" xfId="0" applyFont="1" applyFill="1" applyBorder="1"/>
    <xf numFmtId="0" fontId="5" fillId="6" borderId="4" xfId="0" applyFont="1" applyFill="1" applyBorder="1"/>
    <xf numFmtId="0" fontId="5" fillId="7" borderId="4" xfId="0" applyFont="1" applyFill="1" applyBorder="1"/>
    <xf numFmtId="0" fontId="5" fillId="8" borderId="4" xfId="0" applyFont="1" applyFill="1" applyBorder="1"/>
    <xf numFmtId="0" fontId="5" fillId="9" borderId="4" xfId="0" applyFont="1" applyFill="1" applyBorder="1"/>
    <xf numFmtId="0" fontId="5" fillId="0" borderId="4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9" fontId="12" fillId="0" borderId="0" xfId="0" applyNumberFormat="1" applyFont="1"/>
    <xf numFmtId="0" fontId="9" fillId="3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9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5" fillId="1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3" fillId="0" borderId="0" xfId="0" applyFont="1"/>
    <xf numFmtId="0" fontId="9" fillId="3" borderId="4" xfId="0" applyFont="1" applyFill="1" applyBorder="1"/>
    <xf numFmtId="0" fontId="5" fillId="0" borderId="4" xfId="0" applyFont="1" applyBorder="1"/>
    <xf numFmtId="0" fontId="10" fillId="0" borderId="4" xfId="0" applyFont="1" applyBorder="1"/>
    <xf numFmtId="0" fontId="12" fillId="3" borderId="4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9" fillId="3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center" vertical="center"/>
    </xf>
    <xf numFmtId="0" fontId="9" fillId="10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9" fillId="3" borderId="5" xfId="0" applyFont="1" applyFill="1" applyBorder="1"/>
    <xf numFmtId="0" fontId="10" fillId="0" borderId="0" xfId="0" applyFont="1"/>
  </cellXfs>
  <cellStyles count="1">
    <cellStyle name="Normal" xfId="0" builtinId="0"/>
  </cellStyles>
  <dxfs count="4">
    <dxf>
      <font>
        <b/>
        <sz val="10"/>
        <color rgb="FF2E7D32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1565C0"/>
        <name val="Arial"/>
      </font>
      <fill>
        <patternFill patternType="solid">
          <fgColor rgb="FFBBDEFB"/>
          <bgColor rgb="FFBBDEFB"/>
        </patternFill>
      </fill>
    </dxf>
    <dxf>
      <font>
        <b/>
        <sz val="10"/>
        <color rgb="FFF57F17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C62828"/>
        <name val="Arial"/>
      </font>
      <fill>
        <patternFill patternType="solid">
          <fgColor rgb="FFFFCDD2"/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AF50"/>
  </sheetPr>
  <dimension ref="A1:T988"/>
  <sheetViews>
    <sheetView workbookViewId="0">
      <selection activeCell="F15" sqref="F15"/>
    </sheetView>
  </sheetViews>
  <sheetFormatPr baseColWidth="10" defaultColWidth="14.453125" defaultRowHeight="15" customHeight="1" x14ac:dyDescent="0.35"/>
  <cols>
    <col min="1" max="1" width="43.7265625" customWidth="1"/>
    <col min="2" max="2" width="66.26953125" customWidth="1"/>
    <col min="3" max="3" width="16.81640625" customWidth="1"/>
    <col min="4" max="4" width="8" customWidth="1"/>
    <col min="5" max="5" width="19.08984375" customWidth="1"/>
    <col min="6" max="6" width="16.7265625" customWidth="1"/>
    <col min="7" max="20" width="3.453125" customWidth="1"/>
    <col min="21" max="26" width="8.7265625" customWidth="1"/>
  </cols>
  <sheetData>
    <row r="1" spans="1:20" ht="39.75" customHeight="1" x14ac:dyDescent="0.3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ht="14.5" x14ac:dyDescent="0.35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4" spans="1:20" ht="16.5" x14ac:dyDescent="0.35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</row>
    <row r="6" spans="1:20" ht="18" x14ac:dyDescent="0.4">
      <c r="A6" s="52" t="s">
        <v>3</v>
      </c>
      <c r="B6" s="50"/>
      <c r="C6" s="1">
        <f>Tâches!I2</f>
        <v>42</v>
      </c>
    </row>
    <row r="7" spans="1:20" ht="18" x14ac:dyDescent="0.4">
      <c r="A7" s="52" t="s">
        <v>4</v>
      </c>
      <c r="B7" s="50"/>
      <c r="C7" s="2">
        <v>42</v>
      </c>
    </row>
    <row r="8" spans="1:20" ht="18" x14ac:dyDescent="0.4">
      <c r="A8" s="52" t="s">
        <v>5</v>
      </c>
      <c r="B8" s="50"/>
      <c r="C8" s="3">
        <v>0</v>
      </c>
    </row>
    <row r="9" spans="1:20" ht="20" x14ac:dyDescent="0.4">
      <c r="A9" s="52" t="s">
        <v>6</v>
      </c>
      <c r="B9" s="50"/>
      <c r="C9" s="4">
        <v>1</v>
      </c>
    </row>
    <row r="11" spans="1:20" ht="16.5" x14ac:dyDescent="0.35">
      <c r="A11" s="43" t="s">
        <v>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5"/>
    </row>
    <row r="13" spans="1:20" ht="14.5" x14ac:dyDescent="0.35">
      <c r="A13" s="5" t="s">
        <v>8</v>
      </c>
      <c r="B13" s="5" t="s">
        <v>9</v>
      </c>
      <c r="C13" s="5" t="s">
        <v>10</v>
      </c>
      <c r="D13" s="5" t="s">
        <v>11</v>
      </c>
      <c r="E13" s="5" t="s">
        <v>12</v>
      </c>
      <c r="F13" s="46" t="s">
        <v>13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8"/>
    </row>
    <row r="14" spans="1:20" ht="27.75" customHeight="1" x14ac:dyDescent="0.35">
      <c r="A14" s="6" t="s">
        <v>14</v>
      </c>
      <c r="B14" s="7" t="s">
        <v>15</v>
      </c>
      <c r="C14" s="8">
        <v>16</v>
      </c>
      <c r="D14" s="8">
        <v>16</v>
      </c>
      <c r="E14" s="9">
        <v>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7.75" customHeight="1" x14ac:dyDescent="0.35">
      <c r="A15" s="11" t="s">
        <v>16</v>
      </c>
      <c r="B15" s="7" t="s">
        <v>17</v>
      </c>
      <c r="C15" s="8">
        <v>16</v>
      </c>
      <c r="D15" s="8">
        <v>16</v>
      </c>
      <c r="E15" s="9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7.75" customHeight="1" x14ac:dyDescent="0.35">
      <c r="A16" s="12" t="s">
        <v>18</v>
      </c>
      <c r="B16" s="7" t="s">
        <v>19</v>
      </c>
      <c r="C16" s="8">
        <v>13</v>
      </c>
      <c r="D16" s="8">
        <v>13</v>
      </c>
      <c r="E16" s="9">
        <v>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7.75" customHeight="1" x14ac:dyDescent="0.35">
      <c r="A17" s="13" t="s">
        <v>20</v>
      </c>
      <c r="B17" s="7" t="s">
        <v>21</v>
      </c>
      <c r="C17" s="8">
        <v>19</v>
      </c>
      <c r="D17" s="8">
        <v>19</v>
      </c>
      <c r="E17" s="9">
        <v>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7.75" customHeight="1" x14ac:dyDescent="0.35">
      <c r="A18" s="14" t="s">
        <v>22</v>
      </c>
      <c r="B18" s="7" t="s">
        <v>23</v>
      </c>
      <c r="C18" s="15">
        <f>Tâches!I8</f>
        <v>14</v>
      </c>
      <c r="D18" s="15">
        <f>Tâches!J8</f>
        <v>12</v>
      </c>
      <c r="E18" s="9">
        <v>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20" spans="1:20" ht="15.75" customHeight="1" x14ac:dyDescent="0.35"/>
    <row r="21" spans="1:20" ht="15.75" customHeight="1" x14ac:dyDescent="0.35"/>
    <row r="22" spans="1:20" ht="15.75" customHeight="1" x14ac:dyDescent="0.35"/>
    <row r="23" spans="1:20" ht="15.75" customHeight="1" x14ac:dyDescent="0.35"/>
    <row r="24" spans="1:20" ht="15.75" customHeight="1" x14ac:dyDescent="0.35"/>
    <row r="25" spans="1:20" ht="15.75" customHeight="1" x14ac:dyDescent="0.35"/>
    <row r="26" spans="1:20" ht="15.75" customHeight="1" x14ac:dyDescent="0.35"/>
    <row r="27" spans="1:20" ht="15.75" customHeight="1" x14ac:dyDescent="0.35"/>
    <row r="28" spans="1:20" ht="15.75" customHeight="1" x14ac:dyDescent="0.35"/>
    <row r="29" spans="1:20" ht="15.75" customHeight="1" x14ac:dyDescent="0.35"/>
    <row r="30" spans="1:20" ht="15.75" customHeight="1" x14ac:dyDescent="0.35"/>
    <row r="31" spans="1:20" ht="15.75" customHeight="1" x14ac:dyDescent="0.35"/>
    <row r="32" spans="1:2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mergeCells count="9">
    <mergeCell ref="A11:T11"/>
    <mergeCell ref="F13:T13"/>
    <mergeCell ref="A1:T1"/>
    <mergeCell ref="A2:T2"/>
    <mergeCell ref="A4:T4"/>
    <mergeCell ref="A6:B6"/>
    <mergeCell ref="A7:B7"/>
    <mergeCell ref="A8:B8"/>
    <mergeCell ref="A9:B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L1000"/>
  <sheetViews>
    <sheetView topLeftCell="A39" workbookViewId="0">
      <selection activeCell="G47" sqref="G47"/>
    </sheetView>
  </sheetViews>
  <sheetFormatPr baseColWidth="10" defaultColWidth="14.453125" defaultRowHeight="15" customHeight="1" x14ac:dyDescent="0.35"/>
  <cols>
    <col min="1" max="1" width="5" customWidth="1"/>
    <col min="2" max="2" width="48" customWidth="1"/>
    <col min="3" max="4" width="16" customWidth="1"/>
    <col min="5" max="6" width="12" customWidth="1"/>
    <col min="7" max="7" width="18" customWidth="1"/>
    <col min="8" max="8" width="35" customWidth="1"/>
    <col min="9" max="12" width="0.453125" hidden="1" customWidth="1"/>
    <col min="13" max="26" width="8.7265625" customWidth="1"/>
  </cols>
  <sheetData>
    <row r="1" spans="1:12" ht="31.5" customHeight="1" x14ac:dyDescent="0.35">
      <c r="A1" s="53" t="s">
        <v>24</v>
      </c>
      <c r="B1" s="50"/>
      <c r="C1" s="50"/>
      <c r="D1" s="50"/>
      <c r="E1" s="50"/>
      <c r="F1" s="50"/>
      <c r="G1" s="50"/>
      <c r="H1" s="50"/>
      <c r="I1" s="16" t="s">
        <v>25</v>
      </c>
      <c r="J1" s="16" t="s">
        <v>26</v>
      </c>
      <c r="K1" s="16" t="s">
        <v>27</v>
      </c>
      <c r="L1" s="16" t="s">
        <v>12</v>
      </c>
    </row>
    <row r="2" spans="1:12" ht="14.5" x14ac:dyDescent="0.35">
      <c r="I2" s="17">
        <v>42</v>
      </c>
      <c r="J2" s="17" t="e">
        <f>(G5="✅ Terminé")+(G6="✅ Terminé")+(G7="✅ Terminé")+(G8="✅ Terminé")+(G9="✅ Terminé")+(G10="✅ Terminé")+(G11="✅ Terminé")+(G13="✅ Terminé")+(G14="✅ Terminé")+(G15="✅ Terminé")+(G16="✅ Terminé")+(#REF!="✅ Terminé")+(G18="✅ Terminé")+(G19="✅ Terminé")+(G20="✅ Terminé")+(G21="✅ Terminé")+(G22="✅ Terminé")+(G24="✅ Terminé")+(G25="✅ Terminé")+(G26="✅ Terminé")+(G27="✅ Terminé")+(G28="✅ Terminé")+(G30="✅ Terminé")+(G31="✅ Terminé")+(G32="✅ Terminé")+(G33="✅ Terminé")+(G34="✅ Terminé")+(G35="✅ Terminé")+(G36="✅ Terminé")+(G37="✅ Terminé")+(G38="✅ Terminé")+(G39="✅ Terminé")+(G41="✅ Terminé")+(G42="✅ Terminé")+(G43="✅ Terminé")+(G45="✅ Terminé")+(G46="✅ Terminé")+(G47="✅ Terminé")+(G48="✅ Terminé")+(G49="✅ Terminé")+(G50="✅ Terminé")+(G51="✅ Terminé")</f>
        <v>#REF!</v>
      </c>
      <c r="K2" s="17" t="e">
        <f>(G5="🔧 En cours")+(G6="🔧 En cours")+(G7="🔧 En cours")+(G8="🔧 En cours")+(G9="🔧 En cours")+(G10="🔧 En cours")+(G11="🔧 En cours")+(G13="🔧 En cours")+(G14="🔧 En cours")+(G15="🔧 En cours")+(G16="🔧 En cours")+(#REF!="🔧 En cours")+(G18="🔧 En cours")+(G19="🔧 En cours")+(G20="🔧 En cours")+(G21="🔧 En cours")+(G22="🔧 En cours")+(G24="🔧 En cours")+(G25="🔧 En cours")+(G26="🔧 En cours")+(G27="🔧 En cours")+(G28="🔧 En cours")+(G30="🔧 En cours")+(G31="🔧 En cours")+(G32="🔧 En cours")+(G33="🔧 En cours")+(G34="🔧 En cours")+(G35="🔧 En cours")+(G36="🔧 En cours")+(G37="🔧 En cours")+(G38="🔧 En cours")+(G39="🔧 En cours")+(G41="🔧 En cours")+(G42="🔧 En cours")+(G43="🔧 En cours")+(G45="🔧 En cours")+(G46="🔧 En cours")+(G47="🔧 En cours")+(G48="🔧 En cours")+(G49="🔧 En cours")+(G50="🔧 En cours")+(G51="🔧 En cours")</f>
        <v>#REF!</v>
      </c>
      <c r="L2" s="18" t="e">
        <f>IF(I2=0,0,J2/I2)</f>
        <v>#REF!</v>
      </c>
    </row>
    <row r="3" spans="1:12" ht="24.75" customHeight="1" x14ac:dyDescent="0.35">
      <c r="A3" s="19" t="s">
        <v>28</v>
      </c>
      <c r="B3" s="19" t="s">
        <v>29</v>
      </c>
      <c r="C3" s="19" t="s">
        <v>30</v>
      </c>
      <c r="D3" s="19" t="s">
        <v>31</v>
      </c>
      <c r="E3" s="19" t="s">
        <v>32</v>
      </c>
      <c r="F3" s="19" t="s">
        <v>33</v>
      </c>
      <c r="G3" s="19" t="s">
        <v>34</v>
      </c>
      <c r="H3" s="19" t="s">
        <v>35</v>
      </c>
    </row>
    <row r="4" spans="1:12" ht="25.5" customHeight="1" x14ac:dyDescent="0.35">
      <c r="A4" s="54" t="s">
        <v>36</v>
      </c>
      <c r="B4" s="47"/>
      <c r="C4" s="47"/>
      <c r="D4" s="47"/>
      <c r="E4" s="47"/>
      <c r="F4" s="47"/>
      <c r="G4" s="47"/>
      <c r="H4" s="48"/>
      <c r="I4" s="17">
        <v>8</v>
      </c>
      <c r="J4" s="17">
        <f>(G15="✅ Terminé")+(G20="✅ Terminé")+(G28="✅ Terminé")+(G33="✅ Terminé")+(G39="✅ Terminé")+(G45="✅ Terminé")</f>
        <v>6</v>
      </c>
    </row>
    <row r="5" spans="1:12" ht="27.75" customHeight="1" x14ac:dyDescent="0.35">
      <c r="A5" s="20">
        <v>1</v>
      </c>
      <c r="B5" s="21" t="s">
        <v>37</v>
      </c>
      <c r="C5" s="22" t="s">
        <v>20</v>
      </c>
      <c r="D5" s="23" t="s">
        <v>18</v>
      </c>
      <c r="E5" s="24" t="s">
        <v>38</v>
      </c>
      <c r="F5" s="20" t="s">
        <v>39</v>
      </c>
      <c r="G5" s="25" t="s">
        <v>40</v>
      </c>
      <c r="H5" s="21" t="s">
        <v>41</v>
      </c>
      <c r="I5" s="17">
        <v>10</v>
      </c>
      <c r="J5" s="17">
        <f>(G18="✅ Terminé")+(G19="✅ Terminé")+(G21="✅ Terminé")+(G30="✅ Terminé")+(G31="✅ Terminé")+(G34="✅ Terminé")+(G35="✅ Terminé")+(G46="✅ Terminé")</f>
        <v>8</v>
      </c>
    </row>
    <row r="6" spans="1:12" ht="27.75" customHeight="1" x14ac:dyDescent="0.35">
      <c r="A6" s="20">
        <v>2</v>
      </c>
      <c r="B6" s="21" t="s">
        <v>42</v>
      </c>
      <c r="C6" s="22" t="s">
        <v>20</v>
      </c>
      <c r="D6" s="23" t="s">
        <v>18</v>
      </c>
      <c r="E6" s="24" t="s">
        <v>38</v>
      </c>
      <c r="F6" s="20" t="s">
        <v>39</v>
      </c>
      <c r="G6" s="25" t="s">
        <v>40</v>
      </c>
      <c r="H6" s="21" t="s">
        <v>43</v>
      </c>
      <c r="I6" s="17">
        <v>8</v>
      </c>
      <c r="J6" s="17" t="e">
        <f>(G13="✅ Terminé")+(G14="✅ Terminé")+(G16="✅ Terminé")+(#REF!="✅ Terminé")+(G32="✅ Terminé")+(G48="✅ Terminé")</f>
        <v>#REF!</v>
      </c>
    </row>
    <row r="7" spans="1:12" ht="27.75" customHeight="1" x14ac:dyDescent="0.35">
      <c r="A7" s="20">
        <v>3</v>
      </c>
      <c r="B7" s="21" t="s">
        <v>44</v>
      </c>
      <c r="C7" s="22" t="s">
        <v>20</v>
      </c>
      <c r="D7" s="26" t="s">
        <v>22</v>
      </c>
      <c r="E7" s="24" t="s">
        <v>38</v>
      </c>
      <c r="F7" s="20" t="s">
        <v>45</v>
      </c>
      <c r="G7" s="25" t="s">
        <v>40</v>
      </c>
      <c r="H7" s="21" t="s">
        <v>46</v>
      </c>
      <c r="I7" s="17">
        <v>10</v>
      </c>
      <c r="J7" s="17">
        <f>(G5="✅ Terminé")+(G6="✅ Terminé")+(G7="✅ Terminé")+(G8="✅ Terminé")+(G9="✅ Terminé")+(G10="✅ Terminé")+(G11="✅ Terminé")+(G47="✅ Terminé")</f>
        <v>8</v>
      </c>
    </row>
    <row r="8" spans="1:12" ht="27.75" customHeight="1" x14ac:dyDescent="0.35">
      <c r="A8" s="20">
        <v>4</v>
      </c>
      <c r="B8" s="21" t="s">
        <v>47</v>
      </c>
      <c r="C8" s="22" t="s">
        <v>20</v>
      </c>
      <c r="D8" s="27" t="s">
        <v>14</v>
      </c>
      <c r="E8" s="24" t="s">
        <v>38</v>
      </c>
      <c r="F8" s="20" t="s">
        <v>45</v>
      </c>
      <c r="G8" s="25" t="s">
        <v>40</v>
      </c>
      <c r="H8" s="21" t="s">
        <v>48</v>
      </c>
      <c r="I8" s="17">
        <v>14</v>
      </c>
      <c r="J8" s="17">
        <f>(G22="✅ Terminé")+(G24="✅ Terminé")+(G25="✅ Terminé")+(G26="✅ Terminé")+(G27="✅ Terminé")+(G36="✅ Terminé")+(G37="✅ Terminé")+(G38="✅ Terminé")+(G41="✅ Terminé")+(G42="✅ Terminé")+(G43="✅ Terminé")+(G49="✅ Terminé")</f>
        <v>12</v>
      </c>
    </row>
    <row r="9" spans="1:12" ht="27.75" customHeight="1" x14ac:dyDescent="0.35">
      <c r="A9" s="20">
        <v>5</v>
      </c>
      <c r="B9" s="21" t="s">
        <v>49</v>
      </c>
      <c r="C9" s="22" t="s">
        <v>20</v>
      </c>
      <c r="D9" s="27" t="s">
        <v>14</v>
      </c>
      <c r="E9" s="28" t="s">
        <v>50</v>
      </c>
      <c r="F9" s="20" t="s">
        <v>45</v>
      </c>
      <c r="G9" s="25" t="s">
        <v>40</v>
      </c>
      <c r="H9" s="21" t="s">
        <v>51</v>
      </c>
    </row>
    <row r="10" spans="1:12" ht="27.75" customHeight="1" x14ac:dyDescent="0.35">
      <c r="A10" s="20">
        <v>6</v>
      </c>
      <c r="B10" s="21" t="s">
        <v>52</v>
      </c>
      <c r="C10" s="22" t="s">
        <v>20</v>
      </c>
      <c r="D10" s="29" t="s">
        <v>16</v>
      </c>
      <c r="E10" s="24" t="s">
        <v>38</v>
      </c>
      <c r="F10" s="20" t="s">
        <v>53</v>
      </c>
      <c r="G10" s="25" t="s">
        <v>40</v>
      </c>
      <c r="H10" s="21" t="s">
        <v>54</v>
      </c>
      <c r="I10" s="17">
        <v>7</v>
      </c>
      <c r="J10" s="17">
        <f>(G5="✅ Terminé")+(G6="✅ Terminé")+(G7="✅ Terminé")+(G8="✅ Terminé")+(G9="✅ Terminé")+(G10="✅ Terminé")+(G11="✅ Terminé")</f>
        <v>7</v>
      </c>
    </row>
    <row r="11" spans="1:12" ht="27.75" customHeight="1" x14ac:dyDescent="0.35">
      <c r="A11" s="20">
        <v>7</v>
      </c>
      <c r="B11" s="21" t="s">
        <v>55</v>
      </c>
      <c r="C11" s="22" t="s">
        <v>20</v>
      </c>
      <c r="D11" s="29" t="s">
        <v>16</v>
      </c>
      <c r="E11" s="24" t="s">
        <v>38</v>
      </c>
      <c r="F11" s="20" t="s">
        <v>53</v>
      </c>
      <c r="G11" s="25" t="s">
        <v>40</v>
      </c>
      <c r="H11" s="21" t="s">
        <v>56</v>
      </c>
      <c r="I11" s="17">
        <v>5</v>
      </c>
      <c r="J11" s="17" t="e">
        <f>(G13="✅ Terminé")+(G14="✅ Terminé")+(G15="✅ Terminé")+(G16="✅ Terminé")+(#REF!="✅ Terminé")</f>
        <v>#REF!</v>
      </c>
    </row>
    <row r="12" spans="1:12" ht="25.5" customHeight="1" x14ac:dyDescent="0.35">
      <c r="A12" s="55" t="s">
        <v>57</v>
      </c>
      <c r="B12" s="47"/>
      <c r="C12" s="47"/>
      <c r="D12" s="47"/>
      <c r="E12" s="47"/>
      <c r="F12" s="47"/>
      <c r="G12" s="47"/>
      <c r="H12" s="48"/>
      <c r="I12" s="17">
        <v>5</v>
      </c>
      <c r="J12" s="17">
        <f>(G18="✅ Terminé")+(G19="✅ Terminé")+(G20="✅ Terminé")+(G21="✅ Terminé")+(G22="✅ Terminé")</f>
        <v>5</v>
      </c>
    </row>
    <row r="13" spans="1:12" ht="27.75" customHeight="1" x14ac:dyDescent="0.35">
      <c r="A13" s="20">
        <v>8</v>
      </c>
      <c r="B13" s="30" t="s">
        <v>58</v>
      </c>
      <c r="C13" s="31" t="s">
        <v>18</v>
      </c>
      <c r="D13" s="27" t="s">
        <v>14</v>
      </c>
      <c r="E13" s="24" t="s">
        <v>38</v>
      </c>
      <c r="F13" s="20" t="s">
        <v>39</v>
      </c>
      <c r="G13" s="25" t="s">
        <v>40</v>
      </c>
      <c r="H13" s="21" t="s">
        <v>59</v>
      </c>
      <c r="I13" s="17">
        <v>5</v>
      </c>
      <c r="J13" s="17">
        <f>(G24="✅ Terminé")+(G25="✅ Terminé")+(G26="✅ Terminé")+(G27="✅ Terminé")+(G28="✅ Terminé")</f>
        <v>5</v>
      </c>
    </row>
    <row r="14" spans="1:12" ht="27.75" customHeight="1" x14ac:dyDescent="0.35">
      <c r="A14" s="20">
        <v>9</v>
      </c>
      <c r="B14" s="30" t="s">
        <v>60</v>
      </c>
      <c r="C14" s="31" t="s">
        <v>18</v>
      </c>
      <c r="D14" s="32" t="s">
        <v>20</v>
      </c>
      <c r="E14" s="24" t="s">
        <v>38</v>
      </c>
      <c r="F14" s="20" t="s">
        <v>45</v>
      </c>
      <c r="G14" s="25" t="s">
        <v>40</v>
      </c>
      <c r="H14" s="30" t="s">
        <v>61</v>
      </c>
      <c r="I14" s="17">
        <v>10</v>
      </c>
      <c r="J14" s="17">
        <f>(G30="✅ Terminé")+(G31="✅ Terminé")+(G32="✅ Terminé")+(G33="✅ Terminé")+(G34="✅ Terminé")+(G35="✅ Terminé")+(G36="✅ Terminé")+(G37="✅ Terminé")+(G38="✅ Terminé")+(G39="✅ Terminé")</f>
        <v>10</v>
      </c>
    </row>
    <row r="15" spans="1:12" ht="27.75" customHeight="1" x14ac:dyDescent="0.35">
      <c r="A15" s="20">
        <v>10</v>
      </c>
      <c r="B15" s="21" t="s">
        <v>62</v>
      </c>
      <c r="C15" s="33" t="s">
        <v>14</v>
      </c>
      <c r="D15" s="23" t="s">
        <v>18</v>
      </c>
      <c r="E15" s="24" t="s">
        <v>38</v>
      </c>
      <c r="F15" s="20" t="s">
        <v>45</v>
      </c>
      <c r="G15" s="25" t="s">
        <v>40</v>
      </c>
      <c r="H15" s="21" t="s">
        <v>63</v>
      </c>
      <c r="I15" s="17">
        <v>3</v>
      </c>
      <c r="J15" s="17">
        <f>(G41="✅ Terminé")+(G42="✅ Terminé")+(G43="✅ Terminé")</f>
        <v>3</v>
      </c>
    </row>
    <row r="16" spans="1:12" ht="27.75" customHeight="1" x14ac:dyDescent="0.35">
      <c r="A16" s="20">
        <v>11</v>
      </c>
      <c r="B16" s="21" t="s">
        <v>64</v>
      </c>
      <c r="C16" s="31" t="s">
        <v>18</v>
      </c>
      <c r="D16" s="32" t="s">
        <v>20</v>
      </c>
      <c r="E16" s="28" t="s">
        <v>50</v>
      </c>
      <c r="F16" s="20" t="s">
        <v>65</v>
      </c>
      <c r="G16" s="25" t="s">
        <v>40</v>
      </c>
      <c r="H16" s="21" t="s">
        <v>66</v>
      </c>
      <c r="I16" s="17">
        <v>7</v>
      </c>
      <c r="J16" s="17">
        <f>(G45="✅ Terminé")+(G46="✅ Terminé")+(G47="✅ Terminé")+(G48="✅ Terminé")+(G49="✅ Terminé")+(G50="✅ Terminé")+(G51="✅ Terminé")</f>
        <v>7</v>
      </c>
    </row>
    <row r="17" spans="1:8" ht="27.75" customHeight="1" x14ac:dyDescent="0.35">
      <c r="A17" s="55" t="s">
        <v>67</v>
      </c>
      <c r="B17" s="47"/>
      <c r="C17" s="47"/>
      <c r="D17" s="47"/>
      <c r="E17" s="47"/>
      <c r="F17" s="47"/>
      <c r="G17" s="47"/>
      <c r="H17" s="48"/>
    </row>
    <row r="18" spans="1:8" ht="25.5" customHeight="1" x14ac:dyDescent="0.35">
      <c r="A18" s="20">
        <v>13</v>
      </c>
      <c r="B18" s="21" t="s">
        <v>68</v>
      </c>
      <c r="C18" s="34" t="s">
        <v>16</v>
      </c>
      <c r="D18" s="26" t="s">
        <v>22</v>
      </c>
      <c r="E18" s="24" t="s">
        <v>38</v>
      </c>
      <c r="F18" s="20" t="s">
        <v>65</v>
      </c>
      <c r="G18" s="25" t="s">
        <v>40</v>
      </c>
      <c r="H18" s="21" t="s">
        <v>69</v>
      </c>
    </row>
    <row r="19" spans="1:8" ht="27.75" customHeight="1" x14ac:dyDescent="0.35">
      <c r="A19" s="20">
        <v>14</v>
      </c>
      <c r="B19" s="21" t="s">
        <v>70</v>
      </c>
      <c r="C19" s="34" t="s">
        <v>16</v>
      </c>
      <c r="D19" s="32" t="s">
        <v>20</v>
      </c>
      <c r="E19" s="24" t="s">
        <v>38</v>
      </c>
      <c r="F19" s="20" t="s">
        <v>65</v>
      </c>
      <c r="G19" s="25" t="s">
        <v>40</v>
      </c>
      <c r="H19" s="21" t="s">
        <v>71</v>
      </c>
    </row>
    <row r="20" spans="1:8" ht="27.75" customHeight="1" x14ac:dyDescent="0.35">
      <c r="A20" s="20">
        <v>15</v>
      </c>
      <c r="B20" s="21" t="s">
        <v>72</v>
      </c>
      <c r="C20" s="33" t="s">
        <v>14</v>
      </c>
      <c r="D20" s="29" t="s">
        <v>16</v>
      </c>
      <c r="E20" s="24" t="s">
        <v>38</v>
      </c>
      <c r="F20" s="20" t="s">
        <v>65</v>
      </c>
      <c r="G20" s="25" t="s">
        <v>40</v>
      </c>
      <c r="H20" s="21" t="s">
        <v>73</v>
      </c>
    </row>
    <row r="21" spans="1:8" ht="27.75" customHeight="1" x14ac:dyDescent="0.35">
      <c r="A21" s="20">
        <v>16</v>
      </c>
      <c r="B21" s="21" t="s">
        <v>74</v>
      </c>
      <c r="C21" s="34" t="s">
        <v>16</v>
      </c>
      <c r="D21" s="27" t="s">
        <v>14</v>
      </c>
      <c r="E21" s="28" t="s">
        <v>50</v>
      </c>
      <c r="F21" s="20" t="s">
        <v>75</v>
      </c>
      <c r="G21" s="25" t="s">
        <v>40</v>
      </c>
      <c r="H21" s="21" t="s">
        <v>76</v>
      </c>
    </row>
    <row r="22" spans="1:8" ht="27.75" customHeight="1" x14ac:dyDescent="0.35">
      <c r="A22" s="20">
        <v>17</v>
      </c>
      <c r="B22" s="21" t="s">
        <v>77</v>
      </c>
      <c r="C22" s="35" t="s">
        <v>22</v>
      </c>
      <c r="D22" s="29" t="s">
        <v>16</v>
      </c>
      <c r="E22" s="20" t="s">
        <v>78</v>
      </c>
      <c r="F22" s="20" t="s">
        <v>79</v>
      </c>
      <c r="G22" s="25" t="s">
        <v>40</v>
      </c>
      <c r="H22" s="21" t="s">
        <v>80</v>
      </c>
    </row>
    <row r="23" spans="1:8" ht="27.75" customHeight="1" x14ac:dyDescent="0.35">
      <c r="A23" s="55" t="s">
        <v>81</v>
      </c>
      <c r="B23" s="47"/>
      <c r="C23" s="47"/>
      <c r="D23" s="47"/>
      <c r="E23" s="47"/>
      <c r="F23" s="47"/>
      <c r="G23" s="47"/>
      <c r="H23" s="48"/>
    </row>
    <row r="24" spans="1:8" ht="25.5" customHeight="1" x14ac:dyDescent="0.35">
      <c r="A24" s="20">
        <v>18</v>
      </c>
      <c r="B24" s="21" t="s">
        <v>82</v>
      </c>
      <c r="C24" s="35" t="s">
        <v>22</v>
      </c>
      <c r="D24" s="23" t="s">
        <v>18</v>
      </c>
      <c r="E24" s="24" t="s">
        <v>38</v>
      </c>
      <c r="F24" s="20" t="s">
        <v>83</v>
      </c>
      <c r="G24" s="25" t="s">
        <v>40</v>
      </c>
      <c r="H24" s="21" t="s">
        <v>84</v>
      </c>
    </row>
    <row r="25" spans="1:8" ht="27.75" customHeight="1" x14ac:dyDescent="0.35">
      <c r="A25" s="20">
        <v>19</v>
      </c>
      <c r="B25" s="21" t="s">
        <v>85</v>
      </c>
      <c r="C25" s="35" t="s">
        <v>22</v>
      </c>
      <c r="D25" s="27" t="s">
        <v>14</v>
      </c>
      <c r="E25" s="24" t="s">
        <v>38</v>
      </c>
      <c r="F25" s="20" t="s">
        <v>83</v>
      </c>
      <c r="G25" s="25" t="s">
        <v>40</v>
      </c>
      <c r="H25" s="21" t="s">
        <v>86</v>
      </c>
    </row>
    <row r="26" spans="1:8" ht="27.75" customHeight="1" x14ac:dyDescent="0.35">
      <c r="A26" s="20">
        <v>20</v>
      </c>
      <c r="B26" s="21" t="s">
        <v>87</v>
      </c>
      <c r="C26" s="35" t="s">
        <v>22</v>
      </c>
      <c r="D26" s="32" t="s">
        <v>20</v>
      </c>
      <c r="E26" s="24" t="s">
        <v>38</v>
      </c>
      <c r="F26" s="20" t="s">
        <v>88</v>
      </c>
      <c r="G26" s="25" t="s">
        <v>40</v>
      </c>
      <c r="H26" s="21" t="s">
        <v>89</v>
      </c>
    </row>
    <row r="27" spans="1:8" ht="27.75" customHeight="1" x14ac:dyDescent="0.35">
      <c r="A27" s="20">
        <v>21</v>
      </c>
      <c r="B27" s="21" t="s">
        <v>90</v>
      </c>
      <c r="C27" s="35" t="s">
        <v>22</v>
      </c>
      <c r="D27" s="27" t="s">
        <v>14</v>
      </c>
      <c r="E27" s="24" t="s">
        <v>38</v>
      </c>
      <c r="F27" s="20" t="s">
        <v>88</v>
      </c>
      <c r="G27" s="25" t="s">
        <v>40</v>
      </c>
      <c r="H27" s="21" t="s">
        <v>91</v>
      </c>
    </row>
    <row r="28" spans="1:8" ht="27.75" customHeight="1" x14ac:dyDescent="0.35">
      <c r="A28" s="20">
        <v>22</v>
      </c>
      <c r="B28" s="21" t="s">
        <v>92</v>
      </c>
      <c r="C28" s="33" t="s">
        <v>14</v>
      </c>
      <c r="D28" s="26" t="s">
        <v>22</v>
      </c>
      <c r="E28" s="28" t="s">
        <v>50</v>
      </c>
      <c r="F28" s="20" t="s">
        <v>88</v>
      </c>
      <c r="G28" s="25" t="s">
        <v>40</v>
      </c>
      <c r="H28" s="21" t="s">
        <v>93</v>
      </c>
    </row>
    <row r="29" spans="1:8" ht="27.75" customHeight="1" x14ac:dyDescent="0.35">
      <c r="A29" s="55" t="s">
        <v>94</v>
      </c>
      <c r="B29" s="47"/>
      <c r="C29" s="47"/>
      <c r="D29" s="47"/>
      <c r="E29" s="47"/>
      <c r="F29" s="47"/>
      <c r="G29" s="47"/>
      <c r="H29" s="48"/>
    </row>
    <row r="30" spans="1:8" ht="25.5" customHeight="1" x14ac:dyDescent="0.35">
      <c r="A30" s="20">
        <v>23</v>
      </c>
      <c r="B30" s="21" t="s">
        <v>95</v>
      </c>
      <c r="C30" s="34" t="s">
        <v>16</v>
      </c>
      <c r="D30" s="27" t="s">
        <v>14</v>
      </c>
      <c r="E30" s="24" t="s">
        <v>38</v>
      </c>
      <c r="F30" s="20" t="s">
        <v>88</v>
      </c>
      <c r="G30" s="25" t="s">
        <v>40</v>
      </c>
      <c r="H30" s="30" t="s">
        <v>96</v>
      </c>
    </row>
    <row r="31" spans="1:8" ht="27.75" customHeight="1" x14ac:dyDescent="0.35">
      <c r="A31" s="20">
        <v>24</v>
      </c>
      <c r="B31" s="21" t="s">
        <v>97</v>
      </c>
      <c r="C31" s="34" t="s">
        <v>16</v>
      </c>
      <c r="D31" s="32" t="s">
        <v>20</v>
      </c>
      <c r="E31" s="24" t="s">
        <v>38</v>
      </c>
      <c r="F31" s="20" t="s">
        <v>98</v>
      </c>
      <c r="G31" s="25" t="s">
        <v>40</v>
      </c>
      <c r="H31" s="21" t="s">
        <v>99</v>
      </c>
    </row>
    <row r="32" spans="1:8" ht="27.75" customHeight="1" x14ac:dyDescent="0.35">
      <c r="A32" s="20">
        <v>25</v>
      </c>
      <c r="B32" s="21" t="s">
        <v>100</v>
      </c>
      <c r="C32" s="31" t="s">
        <v>18</v>
      </c>
      <c r="D32" s="32" t="s">
        <v>20</v>
      </c>
      <c r="E32" s="24" t="s">
        <v>38</v>
      </c>
      <c r="F32" s="20" t="s">
        <v>98</v>
      </c>
      <c r="G32" s="25" t="s">
        <v>40</v>
      </c>
      <c r="H32" s="30" t="s">
        <v>101</v>
      </c>
    </row>
    <row r="33" spans="1:8" ht="27.75" customHeight="1" x14ac:dyDescent="0.35">
      <c r="A33" s="20">
        <v>26</v>
      </c>
      <c r="B33" s="21" t="s">
        <v>102</v>
      </c>
      <c r="C33" s="33" t="s">
        <v>14</v>
      </c>
      <c r="D33" s="23" t="s">
        <v>18</v>
      </c>
      <c r="E33" s="24" t="s">
        <v>38</v>
      </c>
      <c r="F33" s="20" t="s">
        <v>98</v>
      </c>
      <c r="G33" s="25" t="s">
        <v>40</v>
      </c>
      <c r="H33" s="21" t="s">
        <v>103</v>
      </c>
    </row>
    <row r="34" spans="1:8" ht="27.75" customHeight="1" x14ac:dyDescent="0.35">
      <c r="A34" s="20">
        <v>27</v>
      </c>
      <c r="B34" s="21" t="s">
        <v>104</v>
      </c>
      <c r="C34" s="34" t="s">
        <v>16</v>
      </c>
      <c r="D34" s="23" t="s">
        <v>18</v>
      </c>
      <c r="E34" s="28" t="s">
        <v>50</v>
      </c>
      <c r="F34" s="20" t="s">
        <v>105</v>
      </c>
      <c r="G34" s="25" t="s">
        <v>40</v>
      </c>
      <c r="H34" s="21" t="s">
        <v>106</v>
      </c>
    </row>
    <row r="35" spans="1:8" ht="27.75" customHeight="1" x14ac:dyDescent="0.35">
      <c r="A35" s="20">
        <v>28</v>
      </c>
      <c r="B35" s="21" t="s">
        <v>107</v>
      </c>
      <c r="C35" s="34" t="s">
        <v>16</v>
      </c>
      <c r="D35" s="26" t="s">
        <v>22</v>
      </c>
      <c r="E35" s="28" t="s">
        <v>50</v>
      </c>
      <c r="F35" s="20" t="s">
        <v>105</v>
      </c>
      <c r="G35" s="25" t="s">
        <v>40</v>
      </c>
      <c r="H35" s="21" t="s">
        <v>108</v>
      </c>
    </row>
    <row r="36" spans="1:8" ht="27.75" customHeight="1" x14ac:dyDescent="0.35">
      <c r="A36" s="20">
        <v>29</v>
      </c>
      <c r="B36" s="21" t="s">
        <v>109</v>
      </c>
      <c r="C36" s="34" t="s">
        <v>16</v>
      </c>
      <c r="D36" s="26" t="s">
        <v>22</v>
      </c>
      <c r="E36" s="28" t="s">
        <v>50</v>
      </c>
      <c r="F36" s="20" t="s">
        <v>105</v>
      </c>
      <c r="G36" s="25" t="s">
        <v>40</v>
      </c>
      <c r="H36" s="21" t="s">
        <v>110</v>
      </c>
    </row>
    <row r="37" spans="1:8" ht="27.75" customHeight="1" x14ac:dyDescent="0.35">
      <c r="A37" s="20">
        <v>30</v>
      </c>
      <c r="B37" s="21" t="s">
        <v>111</v>
      </c>
      <c r="C37" s="34" t="s">
        <v>16</v>
      </c>
      <c r="D37" s="27" t="s">
        <v>14</v>
      </c>
      <c r="E37" s="28" t="s">
        <v>50</v>
      </c>
      <c r="F37" s="20" t="s">
        <v>79</v>
      </c>
      <c r="G37" s="25" t="s">
        <v>40</v>
      </c>
      <c r="H37" s="21" t="s">
        <v>112</v>
      </c>
    </row>
    <row r="38" spans="1:8" ht="27.75" customHeight="1" x14ac:dyDescent="0.35">
      <c r="A38" s="20">
        <v>31</v>
      </c>
      <c r="B38" s="21" t="s">
        <v>113</v>
      </c>
      <c r="C38" s="34" t="s">
        <v>16</v>
      </c>
      <c r="D38" s="27" t="s">
        <v>14</v>
      </c>
      <c r="E38" s="28" t="s">
        <v>50</v>
      </c>
      <c r="F38" s="20" t="s">
        <v>105</v>
      </c>
      <c r="G38" s="25" t="s">
        <v>40</v>
      </c>
      <c r="H38" s="21" t="s">
        <v>114</v>
      </c>
    </row>
    <row r="39" spans="1:8" ht="27.75" customHeight="1" x14ac:dyDescent="0.35">
      <c r="A39" s="20">
        <v>32</v>
      </c>
      <c r="B39" s="21" t="s">
        <v>115</v>
      </c>
      <c r="C39" s="33" t="s">
        <v>14</v>
      </c>
      <c r="D39" s="29" t="s">
        <v>16</v>
      </c>
      <c r="E39" s="28" t="s">
        <v>50</v>
      </c>
      <c r="F39" s="20" t="s">
        <v>79</v>
      </c>
      <c r="G39" s="25" t="s">
        <v>40</v>
      </c>
      <c r="H39" s="21" t="s">
        <v>116</v>
      </c>
    </row>
    <row r="40" spans="1:8" ht="27.75" customHeight="1" x14ac:dyDescent="0.35">
      <c r="A40" s="55" t="s">
        <v>117</v>
      </c>
      <c r="B40" s="47"/>
      <c r="C40" s="47"/>
      <c r="D40" s="47"/>
      <c r="E40" s="47"/>
      <c r="F40" s="47"/>
      <c r="G40" s="47"/>
      <c r="H40" s="48"/>
    </row>
    <row r="41" spans="1:8" ht="25.5" customHeight="1" x14ac:dyDescent="0.35">
      <c r="A41" s="20">
        <v>33</v>
      </c>
      <c r="B41" s="21" t="s">
        <v>118</v>
      </c>
      <c r="C41" s="35" t="s">
        <v>22</v>
      </c>
      <c r="D41" s="32" t="s">
        <v>20</v>
      </c>
      <c r="E41" s="28" t="s">
        <v>50</v>
      </c>
      <c r="F41" s="20" t="s">
        <v>79</v>
      </c>
      <c r="G41" s="25" t="s">
        <v>40</v>
      </c>
      <c r="H41" s="21" t="s">
        <v>119</v>
      </c>
    </row>
    <row r="42" spans="1:8" ht="27.75" customHeight="1" x14ac:dyDescent="0.35">
      <c r="A42" s="20">
        <v>34</v>
      </c>
      <c r="B42" s="21" t="s">
        <v>120</v>
      </c>
      <c r="C42" s="35" t="s">
        <v>22</v>
      </c>
      <c r="D42" s="23" t="s">
        <v>18</v>
      </c>
      <c r="E42" s="28" t="s">
        <v>50</v>
      </c>
      <c r="F42" s="20" t="s">
        <v>121</v>
      </c>
      <c r="G42" s="25" t="s">
        <v>40</v>
      </c>
      <c r="H42" s="21" t="s">
        <v>122</v>
      </c>
    </row>
    <row r="43" spans="1:8" ht="27.75" customHeight="1" x14ac:dyDescent="0.35">
      <c r="A43" s="20">
        <v>35</v>
      </c>
      <c r="B43" s="21" t="s">
        <v>123</v>
      </c>
      <c r="C43" s="35" t="s">
        <v>22</v>
      </c>
      <c r="D43" s="32" t="s">
        <v>20</v>
      </c>
      <c r="E43" s="28" t="s">
        <v>50</v>
      </c>
      <c r="F43" s="20" t="s">
        <v>121</v>
      </c>
      <c r="G43" s="25" t="s">
        <v>40</v>
      </c>
      <c r="H43" s="21" t="s">
        <v>124</v>
      </c>
    </row>
    <row r="44" spans="1:8" ht="27.75" customHeight="1" x14ac:dyDescent="0.35">
      <c r="A44" s="55" t="s">
        <v>125</v>
      </c>
      <c r="B44" s="47"/>
      <c r="C44" s="47"/>
      <c r="D44" s="47"/>
      <c r="E44" s="47"/>
      <c r="F44" s="47"/>
      <c r="G44" s="47"/>
      <c r="H44" s="48"/>
    </row>
    <row r="45" spans="1:8" ht="25.5" customHeight="1" x14ac:dyDescent="0.35">
      <c r="A45" s="20">
        <v>36</v>
      </c>
      <c r="B45" s="21" t="s">
        <v>126</v>
      </c>
      <c r="C45" s="33" t="s">
        <v>14</v>
      </c>
      <c r="D45" s="21"/>
      <c r="E45" s="28" t="s">
        <v>50</v>
      </c>
      <c r="F45" s="20" t="s">
        <v>127</v>
      </c>
      <c r="G45" s="25" t="s">
        <v>40</v>
      </c>
      <c r="H45" s="21" t="s">
        <v>128</v>
      </c>
    </row>
    <row r="46" spans="1:8" ht="27.75" customHeight="1" x14ac:dyDescent="0.35">
      <c r="A46" s="20">
        <v>37</v>
      </c>
      <c r="B46" s="21" t="s">
        <v>129</v>
      </c>
      <c r="C46" s="34" t="s">
        <v>16</v>
      </c>
      <c r="D46" s="21"/>
      <c r="E46" s="28" t="s">
        <v>50</v>
      </c>
      <c r="F46" s="20" t="s">
        <v>127</v>
      </c>
      <c r="G46" s="25" t="s">
        <v>40</v>
      </c>
      <c r="H46" s="21" t="s">
        <v>130</v>
      </c>
    </row>
    <row r="47" spans="1:8" ht="27.75" customHeight="1" x14ac:dyDescent="0.35">
      <c r="A47" s="20">
        <v>38</v>
      </c>
      <c r="B47" s="21" t="s">
        <v>131</v>
      </c>
      <c r="C47" s="22" t="s">
        <v>20</v>
      </c>
      <c r="D47" s="21"/>
      <c r="E47" s="28" t="s">
        <v>50</v>
      </c>
      <c r="F47" s="20" t="s">
        <v>127</v>
      </c>
      <c r="G47" s="25" t="s">
        <v>40</v>
      </c>
      <c r="H47" s="21" t="s">
        <v>132</v>
      </c>
    </row>
    <row r="48" spans="1:8" ht="27.75" customHeight="1" x14ac:dyDescent="0.35">
      <c r="A48" s="20">
        <v>39</v>
      </c>
      <c r="B48" s="21" t="s">
        <v>133</v>
      </c>
      <c r="C48" s="31" t="s">
        <v>18</v>
      </c>
      <c r="D48" s="21"/>
      <c r="E48" s="28" t="s">
        <v>50</v>
      </c>
      <c r="F48" s="20" t="s">
        <v>127</v>
      </c>
      <c r="G48" s="25" t="s">
        <v>40</v>
      </c>
      <c r="H48" s="21" t="s">
        <v>134</v>
      </c>
    </row>
    <row r="49" spans="1:8" ht="27.75" customHeight="1" x14ac:dyDescent="0.35">
      <c r="A49" s="20">
        <v>40</v>
      </c>
      <c r="B49" s="21" t="s">
        <v>135</v>
      </c>
      <c r="C49" s="35" t="s">
        <v>22</v>
      </c>
      <c r="D49" s="21"/>
      <c r="E49" s="28" t="s">
        <v>50</v>
      </c>
      <c r="F49" s="20" t="s">
        <v>127</v>
      </c>
      <c r="G49" s="25" t="s">
        <v>40</v>
      </c>
      <c r="H49" s="21" t="s">
        <v>136</v>
      </c>
    </row>
    <row r="50" spans="1:8" ht="27.75" customHeight="1" x14ac:dyDescent="0.35">
      <c r="A50" s="20">
        <v>41</v>
      </c>
      <c r="B50" s="21" t="s">
        <v>137</v>
      </c>
      <c r="C50" s="36" t="s">
        <v>138</v>
      </c>
      <c r="D50" s="21"/>
      <c r="E50" s="20" t="s">
        <v>139</v>
      </c>
      <c r="F50" s="20" t="s">
        <v>127</v>
      </c>
      <c r="G50" s="25" t="s">
        <v>40</v>
      </c>
      <c r="H50" s="21" t="s">
        <v>140</v>
      </c>
    </row>
    <row r="51" spans="1:8" ht="27.75" customHeight="1" x14ac:dyDescent="0.35">
      <c r="A51" s="20">
        <v>42</v>
      </c>
      <c r="B51" s="21" t="s">
        <v>141</v>
      </c>
      <c r="C51" s="36" t="s">
        <v>138</v>
      </c>
      <c r="D51" s="21"/>
      <c r="E51" s="24" t="s">
        <v>38</v>
      </c>
      <c r="F51" s="20" t="s">
        <v>142</v>
      </c>
      <c r="G51" s="25" t="s">
        <v>40</v>
      </c>
      <c r="H51" s="21" t="s">
        <v>143</v>
      </c>
    </row>
    <row r="52" spans="1:8" ht="27.75" customHeight="1" x14ac:dyDescent="0.35"/>
    <row r="53" spans="1:8" ht="15.75" customHeight="1" x14ac:dyDescent="0.35"/>
    <row r="54" spans="1:8" ht="15.75" customHeight="1" x14ac:dyDescent="0.35"/>
    <row r="55" spans="1:8" ht="15.75" customHeight="1" x14ac:dyDescent="0.35"/>
    <row r="56" spans="1:8" ht="15.75" customHeight="1" x14ac:dyDescent="0.35"/>
    <row r="57" spans="1:8" ht="15.75" customHeight="1" x14ac:dyDescent="0.35"/>
    <row r="58" spans="1:8" ht="15.75" customHeight="1" x14ac:dyDescent="0.35"/>
    <row r="59" spans="1:8" ht="15.75" customHeight="1" x14ac:dyDescent="0.35"/>
    <row r="60" spans="1:8" ht="15.75" customHeight="1" x14ac:dyDescent="0.35"/>
    <row r="61" spans="1:8" ht="15.75" customHeight="1" x14ac:dyDescent="0.35"/>
    <row r="62" spans="1:8" ht="15.75" customHeight="1" x14ac:dyDescent="0.35"/>
    <row r="63" spans="1:8" ht="15.75" customHeight="1" x14ac:dyDescent="0.35"/>
    <row r="64" spans="1:8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29:H29"/>
    <mergeCell ref="A40:H40"/>
    <mergeCell ref="A44:H44"/>
    <mergeCell ref="A1:H1"/>
    <mergeCell ref="A4:H4"/>
    <mergeCell ref="A12:H12"/>
    <mergeCell ref="A17:H17"/>
    <mergeCell ref="A23:H23"/>
  </mergeCells>
  <conditionalFormatting sqref="G5:G16 G18:G22 G24:G28 G30:G39 G41:G43 G45:G52">
    <cfRule type="cellIs" dxfId="3" priority="1" operator="equal">
      <formula>"⬜ Non commencé"</formula>
    </cfRule>
    <cfRule type="cellIs" dxfId="2" priority="2" operator="equal">
      <formula>"🔧 En cours"</formula>
    </cfRule>
    <cfRule type="cellIs" dxfId="1" priority="3" operator="equal">
      <formula>"🔍 En review"</formula>
    </cfRule>
    <cfRule type="cellIs" dxfId="0" priority="4" operator="equal">
      <formula>"✅ Terminé"</formula>
    </cfRule>
  </conditionalFormatting>
  <dataValidations count="1">
    <dataValidation type="list" allowBlank="1" sqref="G5:G11 G13:G16 G18:G22 G24:G28 G30:G39 G41:G43 G45:G51" xr:uid="{00000000-0002-0000-0100-000000000000}">
      <formula1>"⬜ Non commencé,🔧 En cours,🔍 En review,✅ Terminé"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800"/>
  </sheetPr>
  <dimension ref="A1:D1000"/>
  <sheetViews>
    <sheetView tabSelected="1" workbookViewId="0">
      <selection activeCell="C8" sqref="C8"/>
    </sheetView>
  </sheetViews>
  <sheetFormatPr baseColWidth="10" defaultColWidth="14.453125" defaultRowHeight="15" customHeight="1" x14ac:dyDescent="0.35"/>
  <cols>
    <col min="1" max="1" width="18" customWidth="1"/>
    <col min="2" max="2" width="22" customWidth="1"/>
    <col min="3" max="3" width="50" customWidth="1"/>
    <col min="4" max="4" width="45" customWidth="1"/>
    <col min="5" max="26" width="8.7265625" customWidth="1"/>
  </cols>
  <sheetData>
    <row r="1" spans="1:4" ht="18" x14ac:dyDescent="0.4">
      <c r="A1" s="56" t="s">
        <v>144</v>
      </c>
      <c r="B1" s="50"/>
      <c r="C1" s="50"/>
      <c r="D1" s="50"/>
    </row>
    <row r="3" spans="1:4" ht="14.5" x14ac:dyDescent="0.35">
      <c r="A3" s="5" t="s">
        <v>8</v>
      </c>
      <c r="B3" s="5" t="s">
        <v>9</v>
      </c>
      <c r="C3" s="5" t="s">
        <v>145</v>
      </c>
      <c r="D3" s="5" t="s">
        <v>146</v>
      </c>
    </row>
    <row r="4" spans="1:4" ht="49.5" customHeight="1" x14ac:dyDescent="0.35">
      <c r="A4" s="33" t="s">
        <v>14</v>
      </c>
      <c r="B4" s="37" t="s">
        <v>15</v>
      </c>
      <c r="C4" s="21" t="s">
        <v>147</v>
      </c>
      <c r="D4" s="21" t="s">
        <v>148</v>
      </c>
    </row>
    <row r="5" spans="1:4" ht="49.5" customHeight="1" x14ac:dyDescent="0.35">
      <c r="A5" s="34" t="s">
        <v>16</v>
      </c>
      <c r="B5" s="37" t="s">
        <v>149</v>
      </c>
      <c r="C5" s="21" t="s">
        <v>150</v>
      </c>
      <c r="D5" s="21" t="s">
        <v>151</v>
      </c>
    </row>
    <row r="6" spans="1:4" ht="49.5" customHeight="1" x14ac:dyDescent="0.35">
      <c r="A6" s="31" t="s">
        <v>18</v>
      </c>
      <c r="B6" s="37" t="s">
        <v>19</v>
      </c>
      <c r="C6" s="21" t="s">
        <v>152</v>
      </c>
      <c r="D6" s="21" t="s">
        <v>153</v>
      </c>
    </row>
    <row r="7" spans="1:4" ht="49.5" customHeight="1" x14ac:dyDescent="0.35">
      <c r="A7" s="22" t="s">
        <v>20</v>
      </c>
      <c r="B7" s="37" t="s">
        <v>21</v>
      </c>
      <c r="C7" s="21" t="s">
        <v>154</v>
      </c>
      <c r="D7" s="21" t="s">
        <v>155</v>
      </c>
    </row>
    <row r="8" spans="1:4" ht="49.5" customHeight="1" x14ac:dyDescent="0.35">
      <c r="A8" s="35" t="s">
        <v>22</v>
      </c>
      <c r="B8" s="37" t="s">
        <v>156</v>
      </c>
      <c r="C8" s="21" t="s">
        <v>157</v>
      </c>
      <c r="D8" s="21" t="s">
        <v>158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D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E9E9E"/>
  </sheetPr>
  <dimension ref="A1:B1000"/>
  <sheetViews>
    <sheetView workbookViewId="0"/>
  </sheetViews>
  <sheetFormatPr baseColWidth="10" defaultColWidth="14.453125" defaultRowHeight="15" customHeight="1" x14ac:dyDescent="0.35"/>
  <cols>
    <col min="1" max="1" width="25" customWidth="1"/>
    <col min="2" max="2" width="50" customWidth="1"/>
    <col min="3" max="26" width="8.7265625" customWidth="1"/>
  </cols>
  <sheetData>
    <row r="1" spans="1:2" ht="18" x14ac:dyDescent="0.4">
      <c r="A1" s="38" t="s">
        <v>159</v>
      </c>
    </row>
    <row r="3" spans="1:2" ht="14.5" x14ac:dyDescent="0.35">
      <c r="A3" s="39" t="s">
        <v>160</v>
      </c>
      <c r="B3" s="39" t="s">
        <v>161</v>
      </c>
    </row>
    <row r="4" spans="1:2" ht="14.5" x14ac:dyDescent="0.35">
      <c r="A4" s="40" t="s">
        <v>162</v>
      </c>
      <c r="B4" s="41" t="s">
        <v>163</v>
      </c>
    </row>
    <row r="5" spans="1:2" ht="14.5" x14ac:dyDescent="0.35">
      <c r="A5" s="40" t="s">
        <v>164</v>
      </c>
      <c r="B5" s="41" t="s">
        <v>165</v>
      </c>
    </row>
    <row r="6" spans="1:2" ht="14.5" x14ac:dyDescent="0.35">
      <c r="A6" s="40" t="s">
        <v>166</v>
      </c>
      <c r="B6" s="41" t="s">
        <v>167</v>
      </c>
    </row>
    <row r="7" spans="1:2" ht="14.5" x14ac:dyDescent="0.35">
      <c r="A7" s="40" t="s">
        <v>40</v>
      </c>
      <c r="B7" s="41" t="s">
        <v>168</v>
      </c>
    </row>
    <row r="9" spans="1:2" ht="14.5" x14ac:dyDescent="0.35">
      <c r="A9" s="57" t="s">
        <v>169</v>
      </c>
      <c r="B9" s="48"/>
    </row>
    <row r="10" spans="1:2" ht="14.5" x14ac:dyDescent="0.35">
      <c r="A10" s="58" t="s">
        <v>170</v>
      </c>
      <c r="B10" s="50"/>
    </row>
    <row r="11" spans="1:2" ht="14.5" x14ac:dyDescent="0.35">
      <c r="A11" s="58" t="s">
        <v>171</v>
      </c>
      <c r="B11" s="50"/>
    </row>
    <row r="12" spans="1:2" ht="14.5" x14ac:dyDescent="0.35">
      <c r="A12" s="58" t="s">
        <v>172</v>
      </c>
      <c r="B12" s="50"/>
    </row>
    <row r="13" spans="1:2" ht="14.5" x14ac:dyDescent="0.35">
      <c r="A13" s="58" t="s">
        <v>173</v>
      </c>
      <c r="B13" s="50"/>
    </row>
    <row r="14" spans="1:2" ht="14.5" x14ac:dyDescent="0.35">
      <c r="A14" s="58" t="s">
        <v>174</v>
      </c>
      <c r="B14" s="50"/>
    </row>
    <row r="15" spans="1:2" ht="14.5" x14ac:dyDescent="0.35">
      <c r="A15" s="58" t="s">
        <v>175</v>
      </c>
      <c r="B15" s="50"/>
    </row>
    <row r="17" spans="1:2" ht="14.5" x14ac:dyDescent="0.35">
      <c r="A17" s="39" t="s">
        <v>176</v>
      </c>
      <c r="B17" s="42"/>
    </row>
    <row r="18" spans="1:2" ht="14.5" x14ac:dyDescent="0.35">
      <c r="A18" s="40" t="s">
        <v>38</v>
      </c>
      <c r="B18" s="41" t="s">
        <v>177</v>
      </c>
    </row>
    <row r="19" spans="1:2" ht="14.5" x14ac:dyDescent="0.35">
      <c r="A19" s="40" t="s">
        <v>50</v>
      </c>
      <c r="B19" s="41" t="s">
        <v>178</v>
      </c>
    </row>
    <row r="20" spans="1:2" ht="14.5" x14ac:dyDescent="0.35">
      <c r="A20" s="40" t="s">
        <v>139</v>
      </c>
      <c r="B20" s="41" t="s">
        <v>179</v>
      </c>
    </row>
    <row r="21" spans="1:2" ht="15.75" customHeight="1" x14ac:dyDescent="0.35">
      <c r="A21" s="40" t="s">
        <v>78</v>
      </c>
      <c r="B21" s="41" t="s">
        <v>180</v>
      </c>
    </row>
    <row r="22" spans="1:2" ht="15.75" customHeight="1" x14ac:dyDescent="0.35"/>
    <row r="23" spans="1:2" ht="15.75" customHeight="1" x14ac:dyDescent="0.35"/>
    <row r="24" spans="1:2" ht="15.75" customHeight="1" x14ac:dyDescent="0.35"/>
    <row r="25" spans="1:2" ht="15.75" customHeight="1" x14ac:dyDescent="0.35"/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14:B14"/>
    <mergeCell ref="A15:B15"/>
    <mergeCell ref="A9:B9"/>
    <mergeCell ref="A10:B10"/>
    <mergeCell ref="A11:B11"/>
    <mergeCell ref="A12:B12"/>
    <mergeCell ref="A13:B1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Tâches</vt:lpstr>
      <vt:lpstr>Rôles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Mjeku Olti</cp:lastModifiedBy>
  <dcterms:created xsi:type="dcterms:W3CDTF">2026-03-19T09:19:21Z</dcterms:created>
  <dcterms:modified xsi:type="dcterms:W3CDTF">2026-04-02T10:29:41Z</dcterms:modified>
</cp:coreProperties>
</file>